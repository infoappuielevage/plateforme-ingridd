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4B464A3-A9A2-4EE8-8EFA-06638BD8D840}" xr6:coauthVersionLast="47" xr6:coauthVersionMax="47" xr10:uidLastSave="{00000000-0000-0000-0000-000000000000}"/>
  <bookViews>
    <workbookView xWindow="4820" yWindow="20" windowWidth="9780" windowHeight="10890" tabRatio="500" activeTab="3" xr2:uid="{00000000-000D-0000-FFFF-FFFF00000000}"/>
  </bookViews>
  <sheets>
    <sheet name="S7" sheetId="1" r:id="rId1"/>
    <sheet name="S8" sheetId="2" r:id="rId2"/>
    <sheet name="S9" sheetId="3" r:id="rId3"/>
    <sheet name="S10" sheetId="4" r:id="rId4"/>
    <sheet name="Récapitulatif" sheetId="5" r:id="rId5"/>
  </sheets>
  <definedNames>
    <definedName name="_xlnm.Print_Area" localSheetId="3">'S10'!$A$1:$E$33</definedName>
    <definedName name="_xlnm.Print_Area" localSheetId="0">'S7'!$A$1:$E$32</definedName>
    <definedName name="_xlnm.Print_Area" localSheetId="1">'S8'!$A$1:$E$33</definedName>
    <definedName name="_xlnm.Print_Area" localSheetId="2">'S9'!$A$1:$E$32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1" l="1"/>
  <c r="B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E22" i="4" s="1"/>
  <c r="D15" i="4"/>
  <c r="E14" i="4"/>
  <c r="D14" i="4"/>
  <c r="D22" i="4" s="1"/>
  <c r="B23" i="4" s="1"/>
  <c r="E13" i="4"/>
  <c r="D13" i="4"/>
  <c r="E22" i="3"/>
  <c r="B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D22" i="3" s="1"/>
  <c r="B23" i="3" s="1"/>
  <c r="E13" i="3"/>
  <c r="D13" i="3"/>
  <c r="B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E22" i="2" s="1"/>
  <c r="D14" i="2"/>
  <c r="E13" i="2"/>
  <c r="D13" i="2"/>
  <c r="D22" i="2" s="1"/>
  <c r="B23" i="2" s="1"/>
  <c r="B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E22" i="1" s="1"/>
  <c r="D15" i="1"/>
  <c r="E14" i="1"/>
  <c r="D14" i="1"/>
  <c r="E13" i="1"/>
  <c r="D13" i="1"/>
  <c r="D22" i="1" s="1"/>
  <c r="B23" i="1" s="1"/>
  <c r="B9" i="5" l="1"/>
  <c r="C9" i="5" s="1"/>
  <c r="B26" i="4"/>
  <c r="B25" i="4"/>
  <c r="B5" i="5"/>
  <c r="B24" i="2"/>
  <c r="B24" i="1"/>
  <c r="B24" i="4"/>
  <c r="B24" i="3"/>
  <c r="B8" i="5"/>
  <c r="B25" i="3"/>
  <c r="B6" i="5"/>
  <c r="C6" i="5" s="1"/>
  <c r="B25" i="2"/>
  <c r="B26" i="2"/>
  <c r="C5" i="5" l="1"/>
  <c r="B7" i="5"/>
  <c r="B10" i="5"/>
  <c r="C10" i="5" s="1"/>
  <c r="C8" i="5"/>
  <c r="B11" i="5" l="1"/>
  <c r="C7" i="5"/>
  <c r="B13" i="5" l="1"/>
  <c r="C11" i="5"/>
</calcChain>
</file>

<file path=xl/sharedStrings.xml><?xml version="1.0" encoding="utf-8"?>
<sst xmlns="http://schemas.openxmlformats.org/spreadsheetml/2006/main" count="83" uniqueCount="55">
  <si>
    <t>RELEVÉ DE NOTES</t>
  </si>
  <si>
    <t>SEMESTRE 7</t>
  </si>
  <si>
    <t>MATIÈRES</t>
  </si>
  <si>
    <t>COEF</t>
  </si>
  <si>
    <t>NOTE /20</t>
  </si>
  <si>
    <t>NOTE PONDÉRÉE</t>
  </si>
  <si>
    <t>SUR</t>
  </si>
  <si>
    <t>Analyse du Cycle de Vie d'une Mine</t>
  </si>
  <si>
    <t>Cadre Légal de l’Activité Minière</t>
  </si>
  <si>
    <t>Responsabilité Civile dans la Gestion de l’Environnement</t>
  </si>
  <si>
    <t>Système de Management Environnemental</t>
  </si>
  <si>
    <t>Système de Management en Santé Sécurité</t>
  </si>
  <si>
    <t>Etude d'Impact Environnementale et Sociale</t>
  </si>
  <si>
    <t>Procédure des Bailleurs de Fonds</t>
  </si>
  <si>
    <t>Transport et Stockage des Produits Dangereux</t>
  </si>
  <si>
    <t>Prévention Incendie Sauvetage Secourisme</t>
  </si>
  <si>
    <t>TOTAL</t>
  </si>
  <si>
    <t>MOYENNE S7</t>
  </si>
  <si>
    <t>DÉCISION</t>
  </si>
  <si>
    <t>MENTION</t>
  </si>
  <si>
    <t>SEMESTRE 8</t>
  </si>
  <si>
    <t>Droit International Humanitaire</t>
  </si>
  <si>
    <t>Principes Volontaires des Droits Humains et de Sécurité</t>
  </si>
  <si>
    <t>Techniques de Communication</t>
  </si>
  <si>
    <t>Gestion des Ressources Humaines</t>
  </si>
  <si>
    <t>Responsabilité Sociale des Entreprises</t>
  </si>
  <si>
    <t>Informatique</t>
  </si>
  <si>
    <t>MOYENNE S8</t>
  </si>
  <si>
    <t>MOYENNE S7/S8</t>
  </si>
  <si>
    <t>SEMESTRE 9</t>
  </si>
  <si>
    <t>Mécanisme de Développement Propre crédit Carbonne</t>
  </si>
  <si>
    <t>Plan de Gestion Environnemental et Social</t>
  </si>
  <si>
    <t>Evaluation des Ressources</t>
  </si>
  <si>
    <t>Energie dans l’Industrie</t>
  </si>
  <si>
    <t>Statistique</t>
  </si>
  <si>
    <t>Incidence Santé Sécurité dans les Mines et les Grands Travaux</t>
  </si>
  <si>
    <t>MOYENNE S9</t>
  </si>
  <si>
    <t>SEMESTRE 10</t>
  </si>
  <si>
    <t>Métallurgie Métallogénie</t>
  </si>
  <si>
    <t>Gestion des Déchets</t>
  </si>
  <si>
    <t>Réhabilitation Plan de Fermeture d'une Mine</t>
  </si>
  <si>
    <t>Epidémiologie</t>
  </si>
  <si>
    <t>Dynamite - Dynamitage</t>
  </si>
  <si>
    <t>MOYENNE S10</t>
  </si>
  <si>
    <t>MOYENNE S9/S10</t>
  </si>
  <si>
    <t>RÉCAPITULATIF DES MOYENNES</t>
  </si>
  <si>
    <t>MOYENNE</t>
  </si>
  <si>
    <t>Semestre 7</t>
  </si>
  <si>
    <t>Semestre 8</t>
  </si>
  <si>
    <t>MOYENNE MASTER 1</t>
  </si>
  <si>
    <t>Semestre 9</t>
  </si>
  <si>
    <t>Semestre 10</t>
  </si>
  <si>
    <t>MOYENNE MASTER 2</t>
  </si>
  <si>
    <t>MOYENNE GÉNÉRALE</t>
  </si>
  <si>
    <t>DÉCISION 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</si>
</sst>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sz val="10"/>
      <color rgb="FF0000FF"/>
      <name val="Arial"/>
      <charset val="1"/>
    </font>
    <font>
      <b/>
      <sz val="13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0" borderId="0" xfId="0" applyFont="1"/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"/>
  <sheetViews>
    <sheetView topLeftCell="B9" zoomScaleNormal="100" workbookViewId="0">
      <selection activeCell="B26" sqref="B26"/>
    </sheetView>
  </sheetViews>
  <sheetFormatPr baseColWidth="10" defaultColWidth="8.6328125" defaultRowHeight="14.5" x14ac:dyDescent="0.35"/>
  <cols>
    <col min="1" max="1" width="46" customWidth="1"/>
    <col min="2" max="2" width="8" customWidth="1"/>
    <col min="3" max="3" width="12" customWidth="1"/>
    <col min="4" max="4" width="14" customWidth="1"/>
    <col min="5" max="5" width="9" customWidth="1"/>
  </cols>
  <sheetData>
    <row r="1" spans="1:5" ht="18" customHeight="1" x14ac:dyDescent="0.35">
      <c r="A1" s="7"/>
      <c r="B1" s="7"/>
      <c r="C1" s="7"/>
      <c r="D1" s="7"/>
      <c r="E1" s="7"/>
    </row>
    <row r="3" spans="1:5" x14ac:dyDescent="0.35">
      <c r="A3" s="8"/>
      <c r="B3" s="6"/>
      <c r="C3" s="6"/>
      <c r="D3" s="6"/>
      <c r="E3" s="6"/>
    </row>
    <row r="4" spans="1:5" x14ac:dyDescent="0.35">
      <c r="A4" s="8"/>
      <c r="B4" s="6"/>
      <c r="C4" s="6"/>
      <c r="D4" s="6"/>
      <c r="E4" s="6"/>
    </row>
    <row r="5" spans="1:5" x14ac:dyDescent="0.35">
      <c r="A5" s="8"/>
      <c r="B5" s="6"/>
      <c r="C5" s="6"/>
      <c r="D5" s="6"/>
      <c r="E5" s="6"/>
    </row>
    <row r="6" spans="1:5" x14ac:dyDescent="0.35">
      <c r="A6" s="8"/>
      <c r="B6" s="6"/>
      <c r="C6" s="6"/>
      <c r="D6" s="6"/>
      <c r="E6" s="6"/>
    </row>
    <row r="8" spans="1:5" ht="17.25" customHeight="1" x14ac:dyDescent="0.35">
      <c r="A8" s="7" t="s">
        <v>0</v>
      </c>
      <c r="B8" s="7"/>
      <c r="C8" s="7"/>
      <c r="D8" s="7"/>
      <c r="E8" s="7"/>
    </row>
    <row r="9" spans="1:5" x14ac:dyDescent="0.35">
      <c r="A9" s="5"/>
      <c r="B9" s="5"/>
      <c r="C9" s="5"/>
      <c r="D9" s="5"/>
      <c r="E9" s="5"/>
    </row>
    <row r="11" spans="1:5" ht="15" customHeight="1" x14ac:dyDescent="0.35">
      <c r="A11" s="4" t="s">
        <v>1</v>
      </c>
      <c r="B11" s="4"/>
      <c r="C11" s="4"/>
      <c r="D11" s="4"/>
      <c r="E11" s="4"/>
    </row>
    <row r="12" spans="1:5" ht="25.5" customHeight="1" x14ac:dyDescent="0.35">
      <c r="A12" s="10" t="s">
        <v>2</v>
      </c>
      <c r="B12" s="10" t="s">
        <v>3</v>
      </c>
      <c r="C12" s="10" t="s">
        <v>4</v>
      </c>
      <c r="D12" s="10" t="s">
        <v>5</v>
      </c>
      <c r="E12" s="10" t="s">
        <v>6</v>
      </c>
    </row>
    <row r="13" spans="1:5" x14ac:dyDescent="0.35">
      <c r="A13" s="11" t="s">
        <v>7</v>
      </c>
      <c r="B13" s="12">
        <v>2</v>
      </c>
      <c r="C13" s="13">
        <v>14</v>
      </c>
      <c r="D13" s="14">
        <f t="shared" ref="D13:D21" si="0">IF(OR(B13="",C13=""),"",C13*B13)</f>
        <v>28</v>
      </c>
      <c r="E13" s="15">
        <f t="shared" ref="E13:E21" si="1">IF(B13="","",B13*20)</f>
        <v>40</v>
      </c>
    </row>
    <row r="14" spans="1:5" x14ac:dyDescent="0.35">
      <c r="A14" s="11" t="s">
        <v>8</v>
      </c>
      <c r="B14" s="12">
        <v>2</v>
      </c>
      <c r="C14" s="13">
        <v>13</v>
      </c>
      <c r="D14" s="14">
        <f t="shared" si="0"/>
        <v>26</v>
      </c>
      <c r="E14" s="15">
        <f t="shared" si="1"/>
        <v>40</v>
      </c>
    </row>
    <row r="15" spans="1:5" ht="25" x14ac:dyDescent="0.35">
      <c r="A15" s="11" t="s">
        <v>9</v>
      </c>
      <c r="B15" s="12">
        <v>2</v>
      </c>
      <c r="C15" s="13">
        <v>13.5</v>
      </c>
      <c r="D15" s="14">
        <f t="shared" si="0"/>
        <v>27</v>
      </c>
      <c r="E15" s="15">
        <f t="shared" si="1"/>
        <v>40</v>
      </c>
    </row>
    <row r="16" spans="1:5" x14ac:dyDescent="0.35">
      <c r="A16" s="11" t="s">
        <v>10</v>
      </c>
      <c r="B16" s="12">
        <v>2</v>
      </c>
      <c r="C16" s="13">
        <v>12.5</v>
      </c>
      <c r="D16" s="14">
        <f t="shared" si="0"/>
        <v>25</v>
      </c>
      <c r="E16" s="15">
        <f t="shared" si="1"/>
        <v>40</v>
      </c>
    </row>
    <row r="17" spans="1:5" x14ac:dyDescent="0.35">
      <c r="A17" s="11" t="s">
        <v>11</v>
      </c>
      <c r="B17" s="12">
        <v>2</v>
      </c>
      <c r="C17" s="13">
        <v>13</v>
      </c>
      <c r="D17" s="14">
        <f t="shared" si="0"/>
        <v>26</v>
      </c>
      <c r="E17" s="15">
        <f t="shared" si="1"/>
        <v>40</v>
      </c>
    </row>
    <row r="18" spans="1:5" x14ac:dyDescent="0.35">
      <c r="A18" s="11" t="s">
        <v>12</v>
      </c>
      <c r="B18" s="12">
        <v>2</v>
      </c>
      <c r="C18" s="13">
        <v>15</v>
      </c>
      <c r="D18" s="14">
        <f t="shared" si="0"/>
        <v>30</v>
      </c>
      <c r="E18" s="15">
        <f t="shared" si="1"/>
        <v>40</v>
      </c>
    </row>
    <row r="19" spans="1:5" x14ac:dyDescent="0.35">
      <c r="A19" s="11" t="s">
        <v>13</v>
      </c>
      <c r="B19" s="12">
        <v>2</v>
      </c>
      <c r="C19" s="13">
        <v>14</v>
      </c>
      <c r="D19" s="14">
        <f t="shared" si="0"/>
        <v>28</v>
      </c>
      <c r="E19" s="15">
        <f t="shared" si="1"/>
        <v>40</v>
      </c>
    </row>
    <row r="20" spans="1:5" x14ac:dyDescent="0.35">
      <c r="A20" s="11" t="s">
        <v>14</v>
      </c>
      <c r="B20" s="12">
        <v>2</v>
      </c>
      <c r="C20" s="13">
        <v>13.5</v>
      </c>
      <c r="D20" s="14">
        <f t="shared" si="0"/>
        <v>27</v>
      </c>
      <c r="E20" s="15">
        <f t="shared" si="1"/>
        <v>40</v>
      </c>
    </row>
    <row r="21" spans="1:5" x14ac:dyDescent="0.35">
      <c r="A21" s="11" t="s">
        <v>15</v>
      </c>
      <c r="B21" s="12">
        <v>2</v>
      </c>
      <c r="C21" s="13">
        <v>13</v>
      </c>
      <c r="D21" s="14">
        <f t="shared" si="0"/>
        <v>26</v>
      </c>
      <c r="E21" s="15">
        <f t="shared" si="1"/>
        <v>40</v>
      </c>
    </row>
    <row r="22" spans="1:5" x14ac:dyDescent="0.35">
      <c r="A22" s="16" t="s">
        <v>16</v>
      </c>
      <c r="B22" s="17">
        <f>SUM(B13:B21)</f>
        <v>18</v>
      </c>
      <c r="C22" s="17"/>
      <c r="D22" s="18">
        <f>SUM(D13:D21)</f>
        <v>243</v>
      </c>
      <c r="E22" s="17">
        <f>SUM(E13:E21)</f>
        <v>360</v>
      </c>
    </row>
    <row r="23" spans="1:5" x14ac:dyDescent="0.35">
      <c r="A23" s="19" t="s">
        <v>17</v>
      </c>
      <c r="B23" s="3">
        <f>IF(OR(COUNTA(A13:A21)=0,COUNT(C13:C21)&lt;COUNTA(A13:A21)),"",TRUNC(D22/B22,2))</f>
        <v>13.5</v>
      </c>
      <c r="C23" s="3"/>
      <c r="D23" s="3"/>
      <c r="E23" s="3"/>
    </row>
    <row r="24" spans="1:5" x14ac:dyDescent="0.35">
      <c r="A24" s="19" t="s">
        <v>18</v>
      </c>
      <c r="B24" s="2" t="str">
        <f>IF(B23="","",IF(B23&gt;=10,"ADMIS(E)","AJOURNÉ(E)"))</f>
        <v>ADMIS(E)</v>
      </c>
      <c r="C24" s="2"/>
      <c r="D24" s="2"/>
      <c r="E24" s="2"/>
    </row>
    <row r="25" spans="1:5" x14ac:dyDescent="0.35">
      <c r="A25" s="19" t="s">
        <v>19</v>
      </c>
      <c r="B25" s="2" t="str">
        <f>IF(B23="","",IF(B23&gt;=16,"Très bien",IF(B23&gt;=14,"Bien",IF(B23&gt;=12,"Assez bien",IF(B23&gt;=10,"Passable","")))))</f>
        <v>Assez bien</v>
      </c>
      <c r="C25" s="2"/>
      <c r="D25" s="2"/>
      <c r="E25" s="2"/>
    </row>
    <row r="27" spans="1:5" x14ac:dyDescent="0.35">
      <c r="C27" s="6"/>
      <c r="D27" s="6"/>
      <c r="E27" s="6"/>
    </row>
    <row r="28" spans="1:5" x14ac:dyDescent="0.35">
      <c r="C28" s="6"/>
      <c r="D28" s="6"/>
      <c r="E28" s="6"/>
    </row>
  </sheetData>
  <mergeCells count="13">
    <mergeCell ref="B25:E25"/>
    <mergeCell ref="C27:E27"/>
    <mergeCell ref="C28:E28"/>
    <mergeCell ref="A8:E8"/>
    <mergeCell ref="A9:E9"/>
    <mergeCell ref="A11:E11"/>
    <mergeCell ref="B23:E23"/>
    <mergeCell ref="B24:E24"/>
    <mergeCell ref="A1:E1"/>
    <mergeCell ref="B3:E3"/>
    <mergeCell ref="B4:E4"/>
    <mergeCell ref="B5:E5"/>
    <mergeCell ref="B6:E6"/>
  </mergeCells>
  <pageMargins left="0.6" right="0.6" top="0.6" bottom="0.6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9"/>
  <sheetViews>
    <sheetView topLeftCell="A13" zoomScaleNormal="100" workbookViewId="0">
      <selection activeCell="D13" sqref="D13:D18"/>
    </sheetView>
  </sheetViews>
  <sheetFormatPr baseColWidth="10" defaultColWidth="8.6328125" defaultRowHeight="14.5" x14ac:dyDescent="0.35"/>
  <cols>
    <col min="1" max="1" width="46" customWidth="1"/>
    <col min="2" max="2" width="8" customWidth="1"/>
    <col min="3" max="3" width="12" customWidth="1"/>
    <col min="4" max="4" width="14" customWidth="1"/>
    <col min="5" max="5" width="9" customWidth="1"/>
  </cols>
  <sheetData>
    <row r="1" spans="1:5" ht="18" customHeight="1" x14ac:dyDescent="0.35">
      <c r="A1" s="7"/>
      <c r="B1" s="7"/>
      <c r="C1" s="7"/>
      <c r="D1" s="7"/>
      <c r="E1" s="7"/>
    </row>
    <row r="3" spans="1:5" x14ac:dyDescent="0.35">
      <c r="A3" s="8"/>
      <c r="B3" s="6"/>
      <c r="C3" s="6"/>
      <c r="D3" s="6"/>
      <c r="E3" s="6"/>
    </row>
    <row r="4" spans="1:5" x14ac:dyDescent="0.35">
      <c r="A4" s="8"/>
      <c r="B4" s="6"/>
      <c r="C4" s="6"/>
      <c r="D4" s="6"/>
      <c r="E4" s="6"/>
    </row>
    <row r="5" spans="1:5" x14ac:dyDescent="0.35">
      <c r="A5" s="8"/>
      <c r="B5" s="6"/>
      <c r="C5" s="6"/>
      <c r="D5" s="6"/>
      <c r="E5" s="6"/>
    </row>
    <row r="6" spans="1:5" x14ac:dyDescent="0.35">
      <c r="A6" s="8"/>
      <c r="B6" s="6"/>
      <c r="C6" s="6"/>
      <c r="D6" s="6"/>
      <c r="E6" s="6"/>
    </row>
    <row r="8" spans="1:5" ht="17.25" customHeight="1" x14ac:dyDescent="0.35">
      <c r="A8" s="7" t="s">
        <v>0</v>
      </c>
      <c r="B8" s="7"/>
      <c r="C8" s="7"/>
      <c r="D8" s="7"/>
      <c r="E8" s="7"/>
    </row>
    <row r="9" spans="1:5" x14ac:dyDescent="0.35">
      <c r="A9" s="5"/>
      <c r="B9" s="5"/>
      <c r="C9" s="5"/>
      <c r="D9" s="5"/>
      <c r="E9" s="5"/>
    </row>
    <row r="11" spans="1:5" ht="15" customHeight="1" x14ac:dyDescent="0.35">
      <c r="A11" s="4" t="s">
        <v>20</v>
      </c>
      <c r="B11" s="4"/>
      <c r="C11" s="4"/>
      <c r="D11" s="4"/>
      <c r="E11" s="4"/>
    </row>
    <row r="12" spans="1:5" ht="25.5" customHeight="1" x14ac:dyDescent="0.35">
      <c r="A12" s="10" t="s">
        <v>2</v>
      </c>
      <c r="B12" s="10" t="s">
        <v>3</v>
      </c>
      <c r="C12" s="10" t="s">
        <v>4</v>
      </c>
      <c r="D12" s="10" t="s">
        <v>5</v>
      </c>
      <c r="E12" s="10" t="s">
        <v>6</v>
      </c>
    </row>
    <row r="13" spans="1:5" x14ac:dyDescent="0.35">
      <c r="A13" s="11" t="s">
        <v>21</v>
      </c>
      <c r="B13" s="12">
        <v>1</v>
      </c>
      <c r="C13" s="13">
        <v>14</v>
      </c>
      <c r="D13" s="14">
        <f t="shared" ref="D13:D21" si="0">IF(OR(B13="",C13=""),"",C13*B13)</f>
        <v>14</v>
      </c>
      <c r="E13" s="15">
        <f t="shared" ref="E13:E21" si="1">IF(B13="","",B13*20)</f>
        <v>20</v>
      </c>
    </row>
    <row r="14" spans="1:5" ht="24.75" customHeight="1" x14ac:dyDescent="0.35">
      <c r="A14" s="11" t="s">
        <v>22</v>
      </c>
      <c r="B14" s="12">
        <v>1</v>
      </c>
      <c r="C14" s="13">
        <v>13</v>
      </c>
      <c r="D14" s="14">
        <f t="shared" si="0"/>
        <v>13</v>
      </c>
      <c r="E14" s="15">
        <f t="shared" si="1"/>
        <v>20</v>
      </c>
    </row>
    <row r="15" spans="1:5" x14ac:dyDescent="0.35">
      <c r="A15" s="11" t="s">
        <v>23</v>
      </c>
      <c r="B15" s="12">
        <v>1</v>
      </c>
      <c r="C15" s="13">
        <v>15</v>
      </c>
      <c r="D15" s="14">
        <f t="shared" si="0"/>
        <v>15</v>
      </c>
      <c r="E15" s="15">
        <f t="shared" si="1"/>
        <v>20</v>
      </c>
    </row>
    <row r="16" spans="1:5" x14ac:dyDescent="0.35">
      <c r="A16" s="11" t="s">
        <v>24</v>
      </c>
      <c r="B16" s="12">
        <v>1</v>
      </c>
      <c r="C16" s="13">
        <v>12</v>
      </c>
      <c r="D16" s="14">
        <f t="shared" si="0"/>
        <v>12</v>
      </c>
      <c r="E16" s="15">
        <f t="shared" si="1"/>
        <v>20</v>
      </c>
    </row>
    <row r="17" spans="1:5" x14ac:dyDescent="0.35">
      <c r="A17" s="11" t="s">
        <v>25</v>
      </c>
      <c r="B17" s="12">
        <v>1</v>
      </c>
      <c r="C17" s="13">
        <v>16</v>
      </c>
      <c r="D17" s="14">
        <f t="shared" si="0"/>
        <v>16</v>
      </c>
      <c r="E17" s="15">
        <f t="shared" si="1"/>
        <v>20</v>
      </c>
    </row>
    <row r="18" spans="1:5" x14ac:dyDescent="0.35">
      <c r="A18" s="11" t="s">
        <v>26</v>
      </c>
      <c r="B18" s="12">
        <v>1</v>
      </c>
      <c r="C18" s="13">
        <v>14</v>
      </c>
      <c r="D18" s="14">
        <f t="shared" si="0"/>
        <v>14</v>
      </c>
      <c r="E18" s="15">
        <f t="shared" si="1"/>
        <v>20</v>
      </c>
    </row>
    <row r="19" spans="1:5" x14ac:dyDescent="0.35">
      <c r="A19" s="11"/>
      <c r="B19" s="12"/>
      <c r="C19" s="13"/>
      <c r="D19" s="14" t="str">
        <f t="shared" si="0"/>
        <v/>
      </c>
      <c r="E19" s="15" t="str">
        <f t="shared" si="1"/>
        <v/>
      </c>
    </row>
    <row r="20" spans="1:5" x14ac:dyDescent="0.35">
      <c r="A20" s="11"/>
      <c r="B20" s="12"/>
      <c r="C20" s="13"/>
      <c r="D20" s="14" t="str">
        <f t="shared" si="0"/>
        <v/>
      </c>
      <c r="E20" s="15" t="str">
        <f t="shared" si="1"/>
        <v/>
      </c>
    </row>
    <row r="21" spans="1:5" x14ac:dyDescent="0.35">
      <c r="A21" s="11"/>
      <c r="B21" s="12"/>
      <c r="C21" s="13"/>
      <c r="D21" s="14" t="str">
        <f t="shared" si="0"/>
        <v/>
      </c>
      <c r="E21" s="15" t="str">
        <f t="shared" si="1"/>
        <v/>
      </c>
    </row>
    <row r="22" spans="1:5" x14ac:dyDescent="0.35">
      <c r="A22" s="16" t="s">
        <v>16</v>
      </c>
      <c r="B22" s="17">
        <f>SUM(B13:B21)</f>
        <v>6</v>
      </c>
      <c r="C22" s="17"/>
      <c r="D22" s="18">
        <f>SUM(D13:D21)</f>
        <v>84</v>
      </c>
      <c r="E22" s="17">
        <f>SUM(E13:E21)</f>
        <v>120</v>
      </c>
    </row>
    <row r="23" spans="1:5" x14ac:dyDescent="0.35">
      <c r="A23" s="19" t="s">
        <v>27</v>
      </c>
      <c r="B23" s="3">
        <f>IF(OR(COUNTA(A13:A21)=0,COUNT(C13:C21)&lt;COUNTA(A13:A21)),"",TRUNC(D22/B22,2))</f>
        <v>14</v>
      </c>
      <c r="C23" s="3"/>
      <c r="D23" s="3"/>
      <c r="E23" s="3"/>
    </row>
    <row r="24" spans="1:5" x14ac:dyDescent="0.35">
      <c r="A24" s="19" t="s">
        <v>28</v>
      </c>
      <c r="B24" s="3">
        <f>IF(OR('S7'!$B$23="",B23=""),"",TRUNC(('S7'!$B$23+B23)/2,2))</f>
        <v>13.75</v>
      </c>
      <c r="C24" s="3"/>
      <c r="D24" s="3"/>
      <c r="E24" s="3"/>
    </row>
    <row r="25" spans="1:5" x14ac:dyDescent="0.35">
      <c r="A25" s="19" t="s">
        <v>18</v>
      </c>
      <c r="B25" s="2" t="str">
        <f>IF(B23="","",IF(B23&gt;=10,"ADMIS(E)","AJOURNÉ(E)"))</f>
        <v>ADMIS(E)</v>
      </c>
      <c r="C25" s="2"/>
      <c r="D25" s="2"/>
      <c r="E25" s="2"/>
    </row>
    <row r="26" spans="1:5" x14ac:dyDescent="0.35">
      <c r="A26" s="19" t="s">
        <v>19</v>
      </c>
      <c r="B26" s="2" t="str">
        <f>IF(B23="","",IF(B23&gt;=16,"Très bien",IF(B23&gt;=14,"Bien",IF(B23&gt;=12,"Assez bien",IF(B23&gt;=10,"Passable","")))))</f>
        <v>Bien</v>
      </c>
      <c r="C26" s="2"/>
      <c r="D26" s="2"/>
      <c r="E26" s="2"/>
    </row>
    <row r="28" spans="1:5" x14ac:dyDescent="0.35">
      <c r="C28" s="6"/>
      <c r="D28" s="6"/>
      <c r="E28" s="6"/>
    </row>
    <row r="29" spans="1:5" x14ac:dyDescent="0.35">
      <c r="C29" s="6"/>
      <c r="D29" s="6"/>
      <c r="E29" s="6"/>
    </row>
  </sheetData>
  <mergeCells count="14">
    <mergeCell ref="B25:E25"/>
    <mergeCell ref="B26:E26"/>
    <mergeCell ref="C28:E28"/>
    <mergeCell ref="C29:E29"/>
    <mergeCell ref="A8:E8"/>
    <mergeCell ref="A9:E9"/>
    <mergeCell ref="A11:E11"/>
    <mergeCell ref="B23:E23"/>
    <mergeCell ref="B24:E24"/>
    <mergeCell ref="A1:E1"/>
    <mergeCell ref="B3:E3"/>
    <mergeCell ref="B4:E4"/>
    <mergeCell ref="B5:E5"/>
    <mergeCell ref="B6:E6"/>
  </mergeCells>
  <pageMargins left="0.6" right="0.6" top="0.6" bottom="0.6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8"/>
  <sheetViews>
    <sheetView topLeftCell="A16" zoomScaleNormal="100" workbookViewId="0">
      <selection activeCell="D13" sqref="D13:D18"/>
    </sheetView>
  </sheetViews>
  <sheetFormatPr baseColWidth="10" defaultColWidth="8.6328125" defaultRowHeight="14.5" x14ac:dyDescent="0.35"/>
  <cols>
    <col min="1" max="1" width="46" customWidth="1"/>
    <col min="2" max="2" width="8" customWidth="1"/>
    <col min="3" max="3" width="12" customWidth="1"/>
    <col min="4" max="4" width="14" customWidth="1"/>
    <col min="5" max="5" width="9" customWidth="1"/>
  </cols>
  <sheetData>
    <row r="1" spans="1:5" ht="18" customHeight="1" x14ac:dyDescent="0.35">
      <c r="A1" s="7"/>
      <c r="B1" s="7"/>
      <c r="C1" s="7"/>
      <c r="D1" s="7"/>
      <c r="E1" s="7"/>
    </row>
    <row r="3" spans="1:5" x14ac:dyDescent="0.35">
      <c r="A3" s="8"/>
      <c r="B3" s="6"/>
      <c r="C3" s="6"/>
      <c r="D3" s="6"/>
      <c r="E3" s="6"/>
    </row>
    <row r="4" spans="1:5" x14ac:dyDescent="0.35">
      <c r="A4" s="8"/>
      <c r="B4" s="6"/>
      <c r="C4" s="6"/>
      <c r="D4" s="6"/>
      <c r="E4" s="6"/>
    </row>
    <row r="5" spans="1:5" x14ac:dyDescent="0.35">
      <c r="A5" s="8"/>
      <c r="B5" s="6"/>
      <c r="C5" s="6"/>
      <c r="D5" s="6"/>
      <c r="E5" s="6"/>
    </row>
    <row r="6" spans="1:5" x14ac:dyDescent="0.35">
      <c r="A6" s="8"/>
      <c r="B6" s="6"/>
      <c r="C6" s="6"/>
      <c r="D6" s="6"/>
      <c r="E6" s="6"/>
    </row>
    <row r="8" spans="1:5" ht="17.25" customHeight="1" x14ac:dyDescent="0.35">
      <c r="A8" s="7" t="s">
        <v>0</v>
      </c>
      <c r="B8" s="7"/>
      <c r="C8" s="7"/>
      <c r="D8" s="7"/>
      <c r="E8" s="7"/>
    </row>
    <row r="9" spans="1:5" x14ac:dyDescent="0.35">
      <c r="A9" s="5"/>
      <c r="B9" s="5"/>
      <c r="C9" s="5"/>
      <c r="D9" s="5"/>
      <c r="E9" s="5"/>
    </row>
    <row r="11" spans="1:5" ht="15" customHeight="1" x14ac:dyDescent="0.35">
      <c r="A11" s="4" t="s">
        <v>29</v>
      </c>
      <c r="B11" s="4"/>
      <c r="C11" s="4"/>
      <c r="D11" s="4"/>
      <c r="E11" s="4"/>
    </row>
    <row r="12" spans="1:5" ht="25.5" customHeight="1" x14ac:dyDescent="0.35">
      <c r="A12" s="10" t="s">
        <v>2</v>
      </c>
      <c r="B12" s="10" t="s">
        <v>3</v>
      </c>
      <c r="C12" s="10" t="s">
        <v>4</v>
      </c>
      <c r="D12" s="10" t="s">
        <v>5</v>
      </c>
      <c r="E12" s="10" t="s">
        <v>6</v>
      </c>
    </row>
    <row r="13" spans="1:5" x14ac:dyDescent="0.35">
      <c r="A13" s="11" t="s">
        <v>30</v>
      </c>
      <c r="B13" s="12">
        <v>2</v>
      </c>
      <c r="C13" s="13">
        <v>15</v>
      </c>
      <c r="D13" s="14">
        <f t="shared" ref="D13:D21" si="0">IF(OR(B13="",C13=""),"",C13*B13)</f>
        <v>30</v>
      </c>
      <c r="E13" s="15">
        <f t="shared" ref="E13:E21" si="1">IF(B13="","",B13*20)</f>
        <v>40</v>
      </c>
    </row>
    <row r="14" spans="1:5" x14ac:dyDescent="0.35">
      <c r="A14" s="11" t="s">
        <v>31</v>
      </c>
      <c r="B14" s="12">
        <v>2</v>
      </c>
      <c r="C14" s="13">
        <v>14</v>
      </c>
      <c r="D14" s="14">
        <f t="shared" si="0"/>
        <v>28</v>
      </c>
      <c r="E14" s="15">
        <f t="shared" si="1"/>
        <v>40</v>
      </c>
    </row>
    <row r="15" spans="1:5" x14ac:dyDescent="0.35">
      <c r="A15" s="11" t="s">
        <v>32</v>
      </c>
      <c r="B15" s="12">
        <v>2</v>
      </c>
      <c r="C15" s="13">
        <v>13.5</v>
      </c>
      <c r="D15" s="14">
        <f t="shared" si="0"/>
        <v>27</v>
      </c>
      <c r="E15" s="15">
        <f t="shared" si="1"/>
        <v>40</v>
      </c>
    </row>
    <row r="16" spans="1:5" x14ac:dyDescent="0.35">
      <c r="A16" s="11" t="s">
        <v>33</v>
      </c>
      <c r="B16" s="12">
        <v>2</v>
      </c>
      <c r="C16" s="13">
        <v>14.5</v>
      </c>
      <c r="D16" s="14">
        <f t="shared" si="0"/>
        <v>29</v>
      </c>
      <c r="E16" s="15">
        <f t="shared" si="1"/>
        <v>40</v>
      </c>
    </row>
    <row r="17" spans="1:5" x14ac:dyDescent="0.35">
      <c r="A17" s="11" t="s">
        <v>34</v>
      </c>
      <c r="B17" s="12">
        <v>2</v>
      </c>
      <c r="C17" s="13">
        <v>13.5</v>
      </c>
      <c r="D17" s="14">
        <f t="shared" si="0"/>
        <v>27</v>
      </c>
      <c r="E17" s="15">
        <f t="shared" si="1"/>
        <v>40</v>
      </c>
    </row>
    <row r="18" spans="1:5" ht="24.75" customHeight="1" x14ac:dyDescent="0.35">
      <c r="A18" s="11" t="s">
        <v>35</v>
      </c>
      <c r="B18" s="12">
        <v>1</v>
      </c>
      <c r="C18" s="13">
        <v>15.75</v>
      </c>
      <c r="D18" s="14">
        <f t="shared" si="0"/>
        <v>15.75</v>
      </c>
      <c r="E18" s="15">
        <f t="shared" si="1"/>
        <v>20</v>
      </c>
    </row>
    <row r="19" spans="1:5" x14ac:dyDescent="0.35">
      <c r="A19" s="11"/>
      <c r="B19" s="12"/>
      <c r="C19" s="13"/>
      <c r="D19" s="14" t="str">
        <f t="shared" si="0"/>
        <v/>
      </c>
      <c r="E19" s="15" t="str">
        <f t="shared" si="1"/>
        <v/>
      </c>
    </row>
    <row r="20" spans="1:5" x14ac:dyDescent="0.35">
      <c r="A20" s="11"/>
      <c r="B20" s="12"/>
      <c r="C20" s="13"/>
      <c r="D20" s="14" t="str">
        <f t="shared" si="0"/>
        <v/>
      </c>
      <c r="E20" s="15" t="str">
        <f t="shared" si="1"/>
        <v/>
      </c>
    </row>
    <row r="21" spans="1:5" x14ac:dyDescent="0.35">
      <c r="A21" s="11"/>
      <c r="B21" s="12"/>
      <c r="C21" s="13"/>
      <c r="D21" s="14" t="str">
        <f t="shared" si="0"/>
        <v/>
      </c>
      <c r="E21" s="15" t="str">
        <f t="shared" si="1"/>
        <v/>
      </c>
    </row>
    <row r="22" spans="1:5" x14ac:dyDescent="0.35">
      <c r="A22" s="16" t="s">
        <v>16</v>
      </c>
      <c r="B22" s="17">
        <f>SUM(B13:B21)</f>
        <v>11</v>
      </c>
      <c r="C22" s="17"/>
      <c r="D22" s="18">
        <f>SUM(D13:D21)</f>
        <v>156.75</v>
      </c>
      <c r="E22" s="17">
        <f>SUM(E13:E21)</f>
        <v>220</v>
      </c>
    </row>
    <row r="23" spans="1:5" x14ac:dyDescent="0.35">
      <c r="A23" s="19" t="s">
        <v>36</v>
      </c>
      <c r="B23" s="3">
        <f>IF(OR(COUNTA(A13:A21)=0,COUNT(C13:C21)&lt;COUNTA(A13:A21)),"",TRUNC(D22/B22,2))</f>
        <v>14.25</v>
      </c>
      <c r="C23" s="3"/>
      <c r="D23" s="3"/>
      <c r="E23" s="3"/>
    </row>
    <row r="24" spans="1:5" x14ac:dyDescent="0.35">
      <c r="A24" s="19" t="s">
        <v>18</v>
      </c>
      <c r="B24" s="2" t="str">
        <f>IF(B23="","",IF(B23&gt;=10,"ADMIS(E)","AJOURNÉ(E)"))</f>
        <v>ADMIS(E)</v>
      </c>
      <c r="C24" s="2"/>
      <c r="D24" s="2"/>
      <c r="E24" s="2"/>
    </row>
    <row r="25" spans="1:5" x14ac:dyDescent="0.35">
      <c r="A25" s="19" t="s">
        <v>19</v>
      </c>
      <c r="B25" s="2" t="str">
        <f>IF(B23="","",IF(B23&gt;=16,"Très bien",IF(B23&gt;=14,"Bien",IF(B23&gt;=12,"Assez bien",IF(B23&gt;=10,"Passable","")))))</f>
        <v>Bien</v>
      </c>
      <c r="C25" s="2"/>
      <c r="D25" s="2"/>
      <c r="E25" s="2"/>
    </row>
    <row r="27" spans="1:5" x14ac:dyDescent="0.35">
      <c r="C27" s="6"/>
      <c r="D27" s="6"/>
      <c r="E27" s="6"/>
    </row>
    <row r="28" spans="1:5" x14ac:dyDescent="0.35">
      <c r="C28" s="6"/>
      <c r="D28" s="6"/>
      <c r="E28" s="6"/>
    </row>
  </sheetData>
  <mergeCells count="13">
    <mergeCell ref="B25:E25"/>
    <mergeCell ref="C27:E27"/>
    <mergeCell ref="C28:E28"/>
    <mergeCell ref="A8:E8"/>
    <mergeCell ref="A9:E9"/>
    <mergeCell ref="A11:E11"/>
    <mergeCell ref="B23:E23"/>
    <mergeCell ref="B24:E24"/>
    <mergeCell ref="A1:E1"/>
    <mergeCell ref="B3:E3"/>
    <mergeCell ref="B4:E4"/>
    <mergeCell ref="B5:E5"/>
    <mergeCell ref="B6:E6"/>
  </mergeCells>
  <pageMargins left="0.6" right="0.6" top="0.6" bottom="0.6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9"/>
  <sheetViews>
    <sheetView tabSelected="1" zoomScale="70" zoomScaleNormal="70" workbookViewId="0">
      <selection activeCell="D13" sqref="D13:D17"/>
    </sheetView>
  </sheetViews>
  <sheetFormatPr baseColWidth="10" defaultColWidth="8.6328125" defaultRowHeight="14.5" x14ac:dyDescent="0.35"/>
  <cols>
    <col min="1" max="1" width="46" customWidth="1"/>
    <col min="2" max="2" width="8" customWidth="1"/>
    <col min="3" max="3" width="12" customWidth="1"/>
    <col min="4" max="4" width="14" customWidth="1"/>
    <col min="5" max="5" width="9" customWidth="1"/>
  </cols>
  <sheetData>
    <row r="1" spans="1:5" ht="18" customHeight="1" x14ac:dyDescent="0.35">
      <c r="A1" s="7"/>
      <c r="B1" s="7"/>
      <c r="C1" s="7"/>
      <c r="D1" s="7"/>
      <c r="E1" s="7"/>
    </row>
    <row r="3" spans="1:5" x14ac:dyDescent="0.35">
      <c r="A3" s="8"/>
      <c r="B3" s="6"/>
      <c r="C3" s="6"/>
      <c r="D3" s="6"/>
      <c r="E3" s="6"/>
    </row>
    <row r="4" spans="1:5" x14ac:dyDescent="0.35">
      <c r="A4" s="8"/>
      <c r="B4" s="6"/>
      <c r="C4" s="6"/>
      <c r="D4" s="6"/>
      <c r="E4" s="6"/>
    </row>
    <row r="5" spans="1:5" x14ac:dyDescent="0.35">
      <c r="A5" s="8"/>
      <c r="B5" s="6"/>
      <c r="C5" s="6"/>
      <c r="D5" s="6"/>
      <c r="E5" s="6"/>
    </row>
    <row r="6" spans="1:5" x14ac:dyDescent="0.35">
      <c r="A6" s="8"/>
      <c r="B6" s="6"/>
      <c r="C6" s="6"/>
      <c r="D6" s="6"/>
      <c r="E6" s="6"/>
    </row>
    <row r="8" spans="1:5" ht="17.25" customHeight="1" x14ac:dyDescent="0.35">
      <c r="A8" s="7" t="s">
        <v>0</v>
      </c>
      <c r="B8" s="7"/>
      <c r="C8" s="7"/>
      <c r="D8" s="7"/>
      <c r="E8" s="7"/>
    </row>
    <row r="9" spans="1:5" x14ac:dyDescent="0.35">
      <c r="A9" s="5"/>
      <c r="B9" s="5"/>
      <c r="C9" s="5"/>
      <c r="D9" s="5"/>
      <c r="E9" s="5"/>
    </row>
    <row r="11" spans="1:5" ht="15" customHeight="1" x14ac:dyDescent="0.35">
      <c r="A11" s="4" t="s">
        <v>37</v>
      </c>
      <c r="B11" s="4"/>
      <c r="C11" s="4"/>
      <c r="D11" s="4"/>
      <c r="E11" s="4"/>
    </row>
    <row r="12" spans="1:5" ht="25.5" customHeight="1" x14ac:dyDescent="0.35">
      <c r="A12" s="10" t="s">
        <v>2</v>
      </c>
      <c r="B12" s="10" t="s">
        <v>3</v>
      </c>
      <c r="C12" s="10" t="s">
        <v>4</v>
      </c>
      <c r="D12" s="10" t="s">
        <v>5</v>
      </c>
      <c r="E12" s="10" t="s">
        <v>6</v>
      </c>
    </row>
    <row r="13" spans="1:5" x14ac:dyDescent="0.35">
      <c r="A13" s="11" t="s">
        <v>38</v>
      </c>
      <c r="B13" s="12">
        <v>2</v>
      </c>
      <c r="C13" s="13">
        <v>12.5</v>
      </c>
      <c r="D13" s="14">
        <f t="shared" ref="D13:D21" si="0">IF(OR(B13="",C13=""),"",C13*B13)</f>
        <v>25</v>
      </c>
      <c r="E13" s="15">
        <f t="shared" ref="E13:E21" si="1">IF(B13="","",B13*20)</f>
        <v>40</v>
      </c>
    </row>
    <row r="14" spans="1:5" x14ac:dyDescent="0.35">
      <c r="A14" s="11" t="s">
        <v>39</v>
      </c>
      <c r="B14" s="12">
        <v>2</v>
      </c>
      <c r="C14" s="13">
        <v>14.65</v>
      </c>
      <c r="D14" s="14">
        <f t="shared" si="0"/>
        <v>29.3</v>
      </c>
      <c r="E14" s="15">
        <f t="shared" si="1"/>
        <v>40</v>
      </c>
    </row>
    <row r="15" spans="1:5" x14ac:dyDescent="0.35">
      <c r="A15" s="11" t="s">
        <v>40</v>
      </c>
      <c r="B15" s="12">
        <v>2</v>
      </c>
      <c r="C15" s="13">
        <v>14</v>
      </c>
      <c r="D15" s="14">
        <f t="shared" si="0"/>
        <v>28</v>
      </c>
      <c r="E15" s="15">
        <f t="shared" si="1"/>
        <v>40</v>
      </c>
    </row>
    <row r="16" spans="1:5" x14ac:dyDescent="0.35">
      <c r="A16" s="11" t="s">
        <v>41</v>
      </c>
      <c r="B16" s="12">
        <v>2</v>
      </c>
      <c r="C16" s="13">
        <v>13.5</v>
      </c>
      <c r="D16" s="14">
        <f t="shared" si="0"/>
        <v>27</v>
      </c>
      <c r="E16" s="15">
        <f t="shared" si="1"/>
        <v>40</v>
      </c>
    </row>
    <row r="17" spans="1:5" x14ac:dyDescent="0.35">
      <c r="A17" s="11" t="s">
        <v>42</v>
      </c>
      <c r="B17" s="12">
        <v>2</v>
      </c>
      <c r="C17" s="13">
        <v>13</v>
      </c>
      <c r="D17" s="14">
        <f t="shared" si="0"/>
        <v>26</v>
      </c>
      <c r="E17" s="15">
        <f t="shared" si="1"/>
        <v>40</v>
      </c>
    </row>
    <row r="18" spans="1:5" x14ac:dyDescent="0.35">
      <c r="A18" s="11"/>
      <c r="B18" s="12"/>
      <c r="C18" s="13"/>
      <c r="D18" s="14" t="str">
        <f t="shared" si="0"/>
        <v/>
      </c>
      <c r="E18" s="15" t="str">
        <f t="shared" si="1"/>
        <v/>
      </c>
    </row>
    <row r="19" spans="1:5" x14ac:dyDescent="0.35">
      <c r="A19" s="11"/>
      <c r="B19" s="12"/>
      <c r="C19" s="13"/>
      <c r="D19" s="14" t="str">
        <f t="shared" si="0"/>
        <v/>
      </c>
      <c r="E19" s="15" t="str">
        <f t="shared" si="1"/>
        <v/>
      </c>
    </row>
    <row r="20" spans="1:5" x14ac:dyDescent="0.35">
      <c r="A20" s="11"/>
      <c r="B20" s="12"/>
      <c r="C20" s="13"/>
      <c r="D20" s="14" t="str">
        <f t="shared" si="0"/>
        <v/>
      </c>
      <c r="E20" s="15" t="str">
        <f t="shared" si="1"/>
        <v/>
      </c>
    </row>
    <row r="21" spans="1:5" x14ac:dyDescent="0.35">
      <c r="A21" s="11"/>
      <c r="B21" s="12"/>
      <c r="C21" s="13"/>
      <c r="D21" s="14" t="str">
        <f t="shared" si="0"/>
        <v/>
      </c>
      <c r="E21" s="15" t="str">
        <f t="shared" si="1"/>
        <v/>
      </c>
    </row>
    <row r="22" spans="1:5" x14ac:dyDescent="0.35">
      <c r="A22" s="16" t="s">
        <v>16</v>
      </c>
      <c r="B22" s="17">
        <f>SUM(B13:B21)</f>
        <v>10</v>
      </c>
      <c r="C22" s="17"/>
      <c r="D22" s="18">
        <f>SUM(D13:D21)</f>
        <v>135.30000000000001</v>
      </c>
      <c r="E22" s="17">
        <f>SUM(E13:E21)</f>
        <v>200</v>
      </c>
    </row>
    <row r="23" spans="1:5" x14ac:dyDescent="0.35">
      <c r="A23" s="19" t="s">
        <v>43</v>
      </c>
      <c r="B23" s="3">
        <f>IF(OR(COUNTA(A13:A21)=0,COUNT(C13:C21)&lt;COUNTA(A13:A21)),"",TRUNC(D22/B22,2))</f>
        <v>13.53</v>
      </c>
      <c r="C23" s="3"/>
      <c r="D23" s="3"/>
      <c r="E23" s="3"/>
    </row>
    <row r="24" spans="1:5" x14ac:dyDescent="0.35">
      <c r="A24" s="19" t="s">
        <v>44</v>
      </c>
      <c r="B24" s="3">
        <f>IF(OR('S9'!$B$23="",B23=""),"",TRUNC(('S9'!$B$23+B23)/2,2))</f>
        <v>13.89</v>
      </c>
      <c r="C24" s="3"/>
      <c r="D24" s="3"/>
      <c r="E24" s="3"/>
    </row>
    <row r="25" spans="1:5" x14ac:dyDescent="0.35">
      <c r="A25" s="19" t="s">
        <v>18</v>
      </c>
      <c r="B25" s="2" t="str">
        <f>IF(B23="","",IF(B23&gt;=10,"ADMIS(E)","AJOURNÉ(E)"))</f>
        <v>ADMIS(E)</v>
      </c>
      <c r="C25" s="2"/>
      <c r="D25" s="2"/>
      <c r="E25" s="2"/>
    </row>
    <row r="26" spans="1:5" x14ac:dyDescent="0.35">
      <c r="A26" s="19" t="s">
        <v>19</v>
      </c>
      <c r="B26" s="2" t="str">
        <f>IF(B23="","",IF(B23&gt;=16,"Très bien",IF(B23&gt;=14,"Bien",IF(B23&gt;=12,"Assez bien",IF(B23&gt;=10,"Passable","")))))</f>
        <v>Assez bien</v>
      </c>
      <c r="C26" s="2"/>
      <c r="D26" s="2"/>
      <c r="E26" s="2"/>
    </row>
    <row r="28" spans="1:5" x14ac:dyDescent="0.35">
      <c r="C28" s="6"/>
      <c r="D28" s="6"/>
      <c r="E28" s="6"/>
    </row>
    <row r="29" spans="1:5" x14ac:dyDescent="0.35">
      <c r="C29" s="6"/>
      <c r="D29" s="6"/>
      <c r="E29" s="6"/>
    </row>
  </sheetData>
  <mergeCells count="14">
    <mergeCell ref="B25:E25"/>
    <mergeCell ref="B26:E26"/>
    <mergeCell ref="C28:E28"/>
    <mergeCell ref="C29:E29"/>
    <mergeCell ref="A8:E8"/>
    <mergeCell ref="A9:E9"/>
    <mergeCell ref="A11:E11"/>
    <mergeCell ref="B23:E23"/>
    <mergeCell ref="B24:E24"/>
    <mergeCell ref="A1:E1"/>
    <mergeCell ref="B3:E3"/>
    <mergeCell ref="B4:E4"/>
    <mergeCell ref="B5:E5"/>
    <mergeCell ref="B6:E6"/>
  </mergeCells>
  <pageMargins left="0.6" right="0.6" top="0.6" bottom="0.6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zoomScaleNormal="100" workbookViewId="0">
      <selection activeCell="C14" sqref="C14"/>
    </sheetView>
  </sheetViews>
  <sheetFormatPr baseColWidth="10" defaultColWidth="8.6328125" defaultRowHeight="14.5" x14ac:dyDescent="0.35"/>
  <cols>
    <col min="1" max="1" width="34" customWidth="1"/>
    <col min="2" max="3" width="16" customWidth="1"/>
  </cols>
  <sheetData>
    <row r="1" spans="1:3" ht="16.5" customHeight="1" x14ac:dyDescent="0.35">
      <c r="A1" s="1" t="s">
        <v>45</v>
      </c>
      <c r="B1" s="1"/>
      <c r="C1" s="1"/>
    </row>
    <row r="2" spans="1:3" x14ac:dyDescent="0.35">
      <c r="A2" s="9"/>
    </row>
    <row r="4" spans="1:3" x14ac:dyDescent="0.35">
      <c r="A4" s="10"/>
      <c r="B4" s="10" t="s">
        <v>46</v>
      </c>
      <c r="C4" s="10" t="s">
        <v>19</v>
      </c>
    </row>
    <row r="5" spans="1:3" x14ac:dyDescent="0.35">
      <c r="A5" s="20" t="s">
        <v>47</v>
      </c>
      <c r="B5" s="14">
        <f>'S7'!$B$23</f>
        <v>13.5</v>
      </c>
      <c r="C5" s="15" t="str">
        <f t="shared" ref="C5:C11" si="0">IF(B5="","",IF(B5&gt;=16,"Très bien",IF(B5&gt;=14,"Bien",IF(B5&gt;=12,"Assez bien",IF(B5&gt;=10,"Passable","")))))</f>
        <v>Assez bien</v>
      </c>
    </row>
    <row r="6" spans="1:3" x14ac:dyDescent="0.35">
      <c r="A6" s="20" t="s">
        <v>48</v>
      </c>
      <c r="B6" s="14">
        <f>'S8'!$B$23</f>
        <v>14</v>
      </c>
      <c r="C6" s="15" t="str">
        <f t="shared" si="0"/>
        <v>Bien</v>
      </c>
    </row>
    <row r="7" spans="1:3" x14ac:dyDescent="0.35">
      <c r="A7" s="21" t="s">
        <v>49</v>
      </c>
      <c r="B7" s="22">
        <f>IF(OR(B5="",B6=""),"",TRUNC((B5+B6)/2,2))</f>
        <v>13.75</v>
      </c>
      <c r="C7" s="10" t="str">
        <f t="shared" si="0"/>
        <v>Assez bien</v>
      </c>
    </row>
    <row r="8" spans="1:3" x14ac:dyDescent="0.35">
      <c r="A8" s="20" t="s">
        <v>50</v>
      </c>
      <c r="B8" s="14">
        <f>'S9'!$B$23</f>
        <v>14.25</v>
      </c>
      <c r="C8" s="15" t="str">
        <f t="shared" si="0"/>
        <v>Bien</v>
      </c>
    </row>
    <row r="9" spans="1:3" x14ac:dyDescent="0.35">
      <c r="A9" s="20" t="s">
        <v>51</v>
      </c>
      <c r="B9" s="14">
        <f>'S10'!$B$23</f>
        <v>13.53</v>
      </c>
      <c r="C9" s="15" t="str">
        <f t="shared" si="0"/>
        <v>Assez bien</v>
      </c>
    </row>
    <row r="10" spans="1:3" x14ac:dyDescent="0.35">
      <c r="A10" s="21" t="s">
        <v>52</v>
      </c>
      <c r="B10" s="22">
        <f>IF(OR(B8="",B9=""),"",TRUNC((B8+B9)/2,2))</f>
        <v>13.89</v>
      </c>
      <c r="C10" s="10" t="str">
        <f t="shared" si="0"/>
        <v>Assez bien</v>
      </c>
    </row>
    <row r="11" spans="1:3" x14ac:dyDescent="0.35">
      <c r="A11" s="21" t="s">
        <v>53</v>
      </c>
      <c r="B11" s="22">
        <f>IF(OR(B7="",B10=""),"",TRUNC((B7+B10)/2,2))</f>
        <v>13.82</v>
      </c>
      <c r="C11" s="10" t="str">
        <f t="shared" si="0"/>
        <v>Assez bien</v>
      </c>
    </row>
    <row r="13" spans="1:3" x14ac:dyDescent="0.35">
      <c r="A13" s="8" t="s">
        <v>54</v>
      </c>
      <c r="B13" s="8" t="str">
        <f>IF(B11="","",IF(B11&gt;=10,"ADMIS(E)","AJOURNÉ(E)"))</f>
        <v>ADMIS(E)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4</vt:i4>
      </vt:variant>
    </vt:vector>
  </HeadingPairs>
  <TitlesOfParts>
    <vt:vector size="9" baseType="lpstr">
      <vt:lpstr>S7</vt:lpstr>
      <vt:lpstr>S8</vt:lpstr>
      <vt:lpstr>S9</vt:lpstr>
      <vt:lpstr>S10</vt:lpstr>
      <vt:lpstr>Récapitulatif</vt:lpstr>
      <vt:lpstr>'S10'!Zone_d_impression</vt:lpstr>
      <vt:lpstr>'S7'!Zone_d_impression</vt:lpstr>
      <vt:lpstr>'S8'!Zone_d_impression</vt:lpstr>
      <vt:lpstr>'S9'!Zone_d_impression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Iréné OUIYA</cp:lastModifiedBy>
  <dcterms:modified xsi:type="dcterms:W3CDTF">2026-10-10T15:25:48Z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2026-10-10T14:09:56Z</dcterms:created>
  <dc:creator>openpyxl</dc:creator>
  <dc:description/>
  <dc:language>en-US</dc:language>
  <cp:lastModifiedBy>Iréné OUIYA</cp:lastModifiedBy>
  <dcterms:modified xsi:type="dcterms:W3CDTF">2026-10-10T15:04:16Z</dcterms:modified>
  <cp:revision>0</cp:revision>
  <dc:subject/>
  <dc:title/>
</cp:coreProperties>
</file>